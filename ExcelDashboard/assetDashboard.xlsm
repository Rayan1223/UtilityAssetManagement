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2d7d999d4595e39/Documents/UtilityAssetManagement01/ExcelDashboard/"/>
    </mc:Choice>
  </mc:AlternateContent>
  <xr:revisionPtr revIDLastSave="168" documentId="8_{E31AB7BF-09E1-45AE-BB24-302AAD3D1DA8}" xr6:coauthVersionLast="47" xr6:coauthVersionMax="47" xr10:uidLastSave="{B3697564-6BC3-474D-ADE1-DCF1A315D6CE}"/>
  <bookViews>
    <workbookView minimized="1" xWindow="3170" yWindow="2380" windowWidth="14400" windowHeight="7280" activeTab="1" xr2:uid="{33F9EE0D-2CBA-4B76-BE60-6DAB12C6919C}"/>
  </bookViews>
  <sheets>
    <sheet name="Dashboard" sheetId="1" r:id="rId1"/>
    <sheet name="RawData" sheetId="2" r:id="rId2"/>
    <sheet name="KPIs" sheetId="3" r:id="rId3"/>
  </sheets>
  <definedNames>
    <definedName name="ExternalData_1" localSheetId="1" hidden="1">RawData!$A$1:$I$4</definedName>
    <definedName name="ExternalData_3" localSheetId="1" hidden="1">RawData!$J$1:$N$4</definedName>
    <definedName name="ExternalData_4" localSheetId="1" hidden="1">RawData!$A$15:$F$18</definedName>
    <definedName name="ExternalData_5" localSheetId="1" hidden="1">RawData!#REF!</definedName>
    <definedName name="ExternalData_6" localSheetId="1" hidden="1">RawData!$A$30:$E$33</definedName>
    <definedName name="ExternalData_7" localSheetId="1" hidden="1">RawData!$J$15:$P$17</definedName>
  </definedNames>
  <calcPr calcId="191029"/>
  <pivotCaches>
    <pivotCache cacheId="19" r:id="rId4"/>
    <pivotCache cacheId="23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7" i="1" l="1"/>
  <c r="B6" i="1"/>
  <c r="B5" i="1"/>
  <c r="B4" i="1"/>
  <c r="B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7B0D38-F372-4954-A674-6D2AD0B8121A}" keepAlive="1" name="Query - Assets" description="Connection to the 'Assets' query in the workbook." type="5" refreshedVersion="8" background="1" saveData="1">
    <dbPr connection="Provider=Microsoft.Mashup.OleDb.1;Data Source=$Workbook$;Location=Assets;Extended Properties=" command="SELECT * FROM [Assets]"/>
  </connection>
  <connection id="2" xr16:uid="{3BC61F74-2D51-4C3B-8079-27C2FD8343AD}" keepAlive="1" name="Query - Employees" description="Connection to the 'Employees' query in the workbook." type="5" refreshedVersion="8" background="1" saveData="1">
    <dbPr connection="Provider=Microsoft.Mashup.OleDb.1;Data Source=$Workbook$;Location=Employees;Extended Properties=" command="SELECT * FROM [Employees]"/>
  </connection>
  <connection id="3" xr16:uid="{D708FB04-8674-400D-B801-097729B7FC97}" keepAlive="1" name="Query - Inspections" description="Connection to the 'Inspections' query in the workbook." type="5" refreshedVersion="8" background="1" saveData="1">
    <dbPr connection="Provider=Microsoft.Mashup.OleDb.1;Data Source=$Workbook$;Location=Inspections;Extended Properties=&quot;&quot;" command="SELECT * FROM [Inspections]"/>
  </connection>
  <connection id="4" xr16:uid="{9AD67023-44FF-4A36-B80A-6A0250C203EE}" keepAlive="1" name="Query - Locations" description="Connection to the 'Locations' query in the workbook." type="5" refreshedVersion="8" background="1" saveData="1">
    <dbPr connection="Provider=Microsoft.Mashup.OleDb.1;Data Source=$Workbook$;Location=Locations;Extended Properties=" command="SELECT * FROM [Locations]"/>
  </connection>
  <connection id="5" xr16:uid="{4985BE45-47F3-4EAF-996A-CB42BAEFA57E}" keepAlive="1" name="Query - Maintenance" description="Connection to the 'Maintenance' query in the workbook." type="5" refreshedVersion="8" background="1" saveData="1">
    <dbPr connection="Provider=Microsoft.Mashup.OleDb.1;Data Source=$Workbook$;Location=Maintenance;Extended Properties=" command="SELECT * FROM [Maintenance]"/>
  </connection>
</connections>
</file>

<file path=xl/sharedStrings.xml><?xml version="1.0" encoding="utf-8"?>
<sst xmlns="http://schemas.openxmlformats.org/spreadsheetml/2006/main" count="102" uniqueCount="91">
  <si>
    <t>assetId</t>
  </si>
  <si>
    <t>assetTag</t>
  </si>
  <si>
    <t>assetName</t>
  </si>
  <si>
    <t>assetType</t>
  </si>
  <si>
    <t>manufacturer</t>
  </si>
  <si>
    <t>installDate</t>
  </si>
  <si>
    <t>assetCondition</t>
  </si>
  <si>
    <t>assetStatus</t>
  </si>
  <si>
    <t>locationId</t>
  </si>
  <si>
    <t>TR100</t>
  </si>
  <si>
    <t>Transformer Alpha</t>
  </si>
  <si>
    <t>Transformer</t>
  </si>
  <si>
    <t>Siemens</t>
  </si>
  <si>
    <t>Good</t>
  </si>
  <si>
    <t>Active</t>
  </si>
  <si>
    <t>SV200</t>
  </si>
  <si>
    <t>Service Truck</t>
  </si>
  <si>
    <t>Vehicle</t>
  </si>
  <si>
    <t>Ford</t>
  </si>
  <si>
    <t>Fair</t>
  </si>
  <si>
    <t>PM300</t>
  </si>
  <si>
    <t>Water Pump</t>
  </si>
  <si>
    <t>Pump</t>
  </si>
  <si>
    <t>Grundfos</t>
  </si>
  <si>
    <t>Poor</t>
  </si>
  <si>
    <t>Under Maintenance</t>
  </si>
  <si>
    <t>employeeId</t>
  </si>
  <si>
    <t>firstName</t>
  </si>
  <si>
    <t>lastName</t>
  </si>
  <si>
    <t>role</t>
  </si>
  <si>
    <t>email</t>
  </si>
  <si>
    <t>John</t>
  </si>
  <si>
    <t>Smith</t>
  </si>
  <si>
    <t>Inspector</t>
  </si>
  <si>
    <t>john.smith@utility.com</t>
  </si>
  <si>
    <t>Sarah</t>
  </si>
  <si>
    <t>Brown</t>
  </si>
  <si>
    <t>Technician</t>
  </si>
  <si>
    <t>sarah.brown@utility.com</t>
  </si>
  <si>
    <t>Mike</t>
  </si>
  <si>
    <t>Lee</t>
  </si>
  <si>
    <t>Supervisor</t>
  </si>
  <si>
    <t>mike.lee@utility.com</t>
  </si>
  <si>
    <t>inspectionId</t>
  </si>
  <si>
    <t>inspectorId</t>
  </si>
  <si>
    <t>inspectionDate</t>
  </si>
  <si>
    <t>inspectionResult</t>
  </si>
  <si>
    <t>notes</t>
  </si>
  <si>
    <t>Pass</t>
  </si>
  <si>
    <t>Transformer operating normally</t>
  </si>
  <si>
    <t>Vehicle Inspection completed</t>
  </si>
  <si>
    <t>Fail</t>
  </si>
  <si>
    <t>Pump showing pressure issues</t>
  </si>
  <si>
    <t>maintenanceID</t>
  </si>
  <si>
    <t>assetID</t>
  </si>
  <si>
    <t>issueDescription</t>
  </si>
  <si>
    <t>priority</t>
  </si>
  <si>
    <t>maintenanceStatus</t>
  </si>
  <si>
    <t>dueDate</t>
  </si>
  <si>
    <t>completionDate</t>
  </si>
  <si>
    <t>Low water pressure issue</t>
  </si>
  <si>
    <t>High</t>
  </si>
  <si>
    <t>Open</t>
  </si>
  <si>
    <t>Tire replacement required</t>
  </si>
  <si>
    <t>Medium</t>
  </si>
  <si>
    <t>locationName</t>
  </si>
  <si>
    <t>locationID</t>
  </si>
  <si>
    <t>address</t>
  </si>
  <si>
    <t>city</t>
  </si>
  <si>
    <t>province</t>
  </si>
  <si>
    <t>Station A</t>
  </si>
  <si>
    <t>100 King St</t>
  </si>
  <si>
    <t>Toronto</t>
  </si>
  <si>
    <t>ON</t>
  </si>
  <si>
    <t>Station B</t>
  </si>
  <si>
    <t>55 Bayly St</t>
  </si>
  <si>
    <t>Ajax</t>
  </si>
  <si>
    <t>Warehouse C</t>
  </si>
  <si>
    <t>80 Simcoe Rd</t>
  </si>
  <si>
    <t>Oshawa</t>
  </si>
  <si>
    <t>Utility Asset Management Dashboard</t>
  </si>
  <si>
    <t>Total Assets</t>
  </si>
  <si>
    <t>Open Maintenance</t>
  </si>
  <si>
    <t>Failed Inspections</t>
  </si>
  <si>
    <t>Critical Assets</t>
  </si>
  <si>
    <t>Overdue Maintenance</t>
  </si>
  <si>
    <t>Row Labels</t>
  </si>
  <si>
    <t>Grand Total</t>
  </si>
  <si>
    <t>Count of assetCondition</t>
  </si>
  <si>
    <t>Count of maintenanceStatus</t>
  </si>
  <si>
    <t>Extremely Good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</si>
</sst>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22" fontId="0" fillId="0" borderId="0" xfId="0" applyNumberFormat="1"/>
    <xf numFmtId="0" fontId="1" fillId="0" borderId="0" xfId="0" applyFont="1"/>
    <xf numFmtId="0" fontId="0" fillId="0" borderId="0" xfId="0" applyFont="1"/>
    <xf numFmtId="0" fontId="1" fillId="0" borderId="1" xfId="0" applyFont="1" applyBorder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23">
    <dxf>
      <numFmt numFmtId="0" formatCode="General"/>
    </dxf>
    <dxf>
      <numFmt numFmtId="0" formatCode="General"/>
    </dxf>
    <dxf>
      <numFmt numFmtId="27" formatCode="yyyy/mm/dd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m/dd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m/dd\ h:mm"/>
    </dxf>
    <dxf>
      <numFmt numFmtId="27" formatCode="yyyy/mm/dd\ h:mm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2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[assetDashboard.xlsm]KPIs!PivotTable2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Maintenance by Status</a:t>
            </a:r>
          </a:p>
        </c:rich>
      </c:tx>
      <c:layout>
        <c:manualLayout>
          <c:xMode val="edge"/>
          <c:yMode val="edge"/>
          <c:x val="0.33260411198600176"/>
          <c:y val="0.123979294254884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KPIs!$B$10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KPIs!$A$11:$A$12</c:f>
              <c:strCache>
                <c:ptCount val="1"/>
                <c:pt idx="0">
                  <c:v>Open</c:v>
                </c:pt>
              </c:strCache>
            </c:strRef>
          </c:cat>
          <c:val>
            <c:numRef>
              <c:f>KPIs!$B$11:$B$12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E7-44FD-9005-DF7986EFC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01570719"/>
        <c:axId val="1301568319"/>
      </c:barChart>
      <c:catAx>
        <c:axId val="1301570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568319"/>
        <c:crosses val="autoZero"/>
        <c:auto val="1"/>
        <c:lblAlgn val="ctr"/>
        <c:lblOffset val="100"/>
        <c:noMultiLvlLbl val="0"/>
      </c:catAx>
      <c:valAx>
        <c:axId val="1301568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570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[assetDashboard.xlsm]KPIs!PivotTable1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Assets by Condition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KPIs!$B$1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KPIs!$A$2:$A$5</c:f>
              <c:strCache>
                <c:ptCount val="3"/>
                <c:pt idx="0">
                  <c:v>Fair</c:v>
                </c:pt>
                <c:pt idx="1">
                  <c:v>Good</c:v>
                </c:pt>
                <c:pt idx="2">
                  <c:v>Poor</c:v>
                </c:pt>
              </c:strCache>
            </c:strRef>
          </c:cat>
          <c:val>
            <c:numRef>
              <c:f>KPIs!$B$2:$B$5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3F-4F2F-ABB4-A3EFBADA9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03130687"/>
        <c:axId val="1303131167"/>
      </c:barChart>
      <c:catAx>
        <c:axId val="1303130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131167"/>
        <c:crosses val="autoZero"/>
        <c:auto val="1"/>
        <c:lblAlgn val="ctr"/>
        <c:lblOffset val="100"/>
        <c:noMultiLvlLbl val="0"/>
      </c:catAx>
      <c:valAx>
        <c:axId val="130313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130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166007</xdr:colOff>
      <xdr:row>17</xdr:row>
      <xdr:rowOff>103414</xdr:rowOff>
    </xdr:from>
    <xdr:to>
      <xdr:col>9</xdr:col>
      <xdr:colOff>470807</xdr:colOff>
      <xdr:row>32</xdr:row>
      <xdr:rowOff>84364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D4B507-9FEC-4B55-8154-443B7256C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190500</xdr:colOff>
      <xdr:row>1</xdr:row>
      <xdr:rowOff>117929</xdr:rowOff>
    </xdr:from>
    <xdr:to>
      <xdr:col>9</xdr:col>
      <xdr:colOff>508000</xdr:colOff>
      <xdr:row>16</xdr:row>
      <xdr:rowOff>139701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0DFAFDC-E991-4D71-BC9D-D48A48CCE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311150</xdr:colOff>
          <xdr:row>2</xdr:row>
          <xdr:rowOff>120650</xdr:rowOff>
        </xdr:from>
        <xdr:to>
          <xdr:col>14</xdr:col>
          <xdr:colOff>6350</xdr:colOff>
          <xdr:row>8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Dashboard!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yan Ansari" refreshedDate="46198.716401388891" createdVersion="8" refreshedVersion="8" minRefreshableVersion="3" recordCount="3" xr:uid="{2670F131-7D1E-445E-8818-40C5B9B48913}">
  <cacheSource type="worksheet">
    <worksheetSource name="Assets"/>
  </cacheSource>
  <cacheFields count="9">
    <cacheField name="assetId" numFmtId="0">
      <sharedItems containsSemiMixedTypes="0" containsString="0" containsNumber="1" containsInteger="1" minValue="1" maxValue="7"/>
    </cacheField>
    <cacheField name="assetTag" numFmtId="0">
      <sharedItems/>
    </cacheField>
    <cacheField name="assetName" numFmtId="0">
      <sharedItems/>
    </cacheField>
    <cacheField name="assetType" numFmtId="0">
      <sharedItems/>
    </cacheField>
    <cacheField name="manufacturer" numFmtId="0">
      <sharedItems/>
    </cacheField>
    <cacheField name="installDate" numFmtId="22">
      <sharedItems containsSemiMixedTypes="0" containsNonDate="0" containsDate="1" containsString="0" minDate="2020-06-22T00:00:00" maxDate="2022-01-11T00:00:00"/>
    </cacheField>
    <cacheField name="assetCondition" numFmtId="0">
      <sharedItems count="3">
        <s v="Good"/>
        <s v="Fair"/>
        <s v="Poor"/>
      </sharedItems>
    </cacheField>
    <cacheField name="assetStatus" numFmtId="0">
      <sharedItems/>
    </cacheField>
    <cacheField name="locationId" numFmtId="0">
      <sharedItems containsSemiMixedTypes="0" containsString="0" containsNumber="1" containsInteger="1" minValue="1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yan Ansari" refreshedDate="46198.716401504629" createdVersion="8" refreshedVersion="8" minRefreshableVersion="3" recordCount="2" xr:uid="{BBE571D4-4A76-43BD-A52B-1547A5A254BF}">
  <cacheSource type="worksheet">
    <worksheetSource name="Maintenance"/>
  </cacheSource>
  <cacheFields count="7">
    <cacheField name="maintenanceID" numFmtId="0">
      <sharedItems containsSemiMixedTypes="0" containsString="0" containsNumber="1" containsInteger="1" minValue="1" maxValue="2"/>
    </cacheField>
    <cacheField name="assetID" numFmtId="0">
      <sharedItems containsSemiMixedTypes="0" containsString="0" containsNumber="1" containsInteger="1" minValue="2" maxValue="7"/>
    </cacheField>
    <cacheField name="issueDescription" numFmtId="0">
      <sharedItems/>
    </cacheField>
    <cacheField name="priority" numFmtId="0">
      <sharedItems/>
    </cacheField>
    <cacheField name="maintenanceStatus" numFmtId="0">
      <sharedItems count="1">
        <s v="Open"/>
      </sharedItems>
    </cacheField>
    <cacheField name="dueDate" numFmtId="22">
      <sharedItems containsSemiMixedTypes="0" containsNonDate="0" containsDate="1" containsString="0" minDate="2026-06-20T00:00:00" maxDate="2026-07-02T00:00:00"/>
    </cacheField>
    <cacheField name="completionDate" numFmtId="22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1"/>
    <s v="TR100"/>
    <s v="Transformer Alpha"/>
    <s v="Transformer"/>
    <s v="Siemens"/>
    <d v="2022-01-10T00:00:00"/>
    <x v="0"/>
    <s v="Active"/>
    <n v="1"/>
  </r>
  <r>
    <n v="2"/>
    <s v="SV200"/>
    <s v="Service Truck"/>
    <s v="Vehicle"/>
    <s v="Ford"/>
    <d v="2021-03-15T00:00:00"/>
    <x v="1"/>
    <s v="Active"/>
    <n v="2"/>
  </r>
  <r>
    <n v="7"/>
    <s v="PM300"/>
    <s v="Water Pump"/>
    <s v="Pump"/>
    <s v="Grundfos"/>
    <d v="2020-06-22T00:00:00"/>
    <x v="2"/>
    <s v="Under Maintenance"/>
    <n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n v="1"/>
    <n v="7"/>
    <s v="Low water pressure issue"/>
    <s v="High"/>
    <x v="0"/>
    <d v="2026-06-20T00:00:00"/>
    <m/>
  </r>
  <r>
    <n v="2"/>
    <n v="2"/>
    <s v="Tire replacement required"/>
    <s v="Medium"/>
    <x v="0"/>
    <d v="2026-07-01T00:00:0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B5629A-A8DF-430E-9219-83DD6CBC90DE}" name="PivotTable2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10:B12" firstHeaderRow="1" firstDataRow="1" firstDataCol="1"/>
  <pivotFields count="7">
    <pivotField showAll="0"/>
    <pivotField showAll="0"/>
    <pivotField showAll="0"/>
    <pivotField showAll="0"/>
    <pivotField axis="axisRow" dataField="1" showAll="0">
      <items count="2">
        <item x="0"/>
        <item t="default"/>
      </items>
    </pivotField>
    <pivotField numFmtId="22" showAll="0"/>
    <pivotField showAll="0"/>
  </pivotFields>
  <rowFields count="1">
    <field x="4"/>
  </rowFields>
  <rowItems count="2">
    <i>
      <x/>
    </i>
    <i t="grand">
      <x/>
    </i>
  </rowItems>
  <colItems count="1">
    <i/>
  </colItems>
  <dataFields count="1">
    <dataField name="Count of maintenanceStatus" fld="4" subtotal="count" baseField="0" baseItem="0"/>
  </dataFields>
  <chartFormats count="2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6922B9-E4A7-4BA2-82E5-BBAC6B800BCB}" name="PivotTable1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1:B5" firstHeaderRow="1" firstDataRow="1" firstDataCol="1"/>
  <pivotFields count="9">
    <pivotField showAll="0"/>
    <pivotField showAll="0"/>
    <pivotField showAll="0"/>
    <pivotField showAll="0"/>
    <pivotField showAll="0"/>
    <pivotField numFmtId="22" showAll="0"/>
    <pivotField axis="axisRow" dataField="1" showAll="0">
      <items count="4">
        <item x="1"/>
        <item x="0"/>
        <item x="2"/>
        <item t="default"/>
      </items>
    </pivotField>
    <pivotField showAll="0"/>
    <pivotField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assetCondition" fld="6" subtotal="count" baseField="0" baseItem="0"/>
  </dataField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6616C3F-617E-4B31-ACE5-B751D7984248}" autoFormatId="16" applyNumberFormats="0" applyBorderFormats="0" applyFontFormats="0" applyPatternFormats="0" applyAlignmentFormats="0" applyWidthHeightFormats="0">
  <queryTableRefresh nextId="10">
    <queryTableFields count="9">
      <queryTableField id="1" name="assetId" tableColumnId="1"/>
      <queryTableField id="2" name="assetTag" tableColumnId="2"/>
      <queryTableField id="3" name="assetName" tableColumnId="3"/>
      <queryTableField id="4" name="assetType" tableColumnId="4"/>
      <queryTableField id="5" name="manufacturer" tableColumnId="5"/>
      <queryTableField id="6" name="installDate" tableColumnId="6"/>
      <queryTableField id="7" name="assetCondition" tableColumnId="7"/>
      <queryTableField id="8" name="assetStatus" tableColumnId="8"/>
      <queryTableField id="9" name="locationId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25682E55-735E-426D-8E6B-60FDB8B16855}" autoFormatId="16" applyNumberFormats="0" applyBorderFormats="0" applyFontFormats="0" applyPatternFormats="0" applyAlignmentFormats="0" applyWidthHeightFormats="0">
  <queryTableRefresh nextId="6">
    <queryTableFields count="5">
      <queryTableField id="1" name="employeeId" tableColumnId="1"/>
      <queryTableField id="2" name="firstName" tableColumnId="2"/>
      <queryTableField id="3" name="lastName" tableColumnId="3"/>
      <queryTableField id="4" name="role" tableColumnId="4"/>
      <queryTableField id="5" name="email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" xr16:uid="{5B3AC712-1C93-419E-8F4B-59ACD2699C1D}" autoFormatId="16" applyNumberFormats="0" applyBorderFormats="0" applyFontFormats="0" applyPatternFormats="0" applyAlignmentFormats="0" applyWidthHeightFormats="0">
  <queryTableRefresh nextId="7">
    <queryTableFields count="6">
      <queryTableField id="1" name="inspectionId" tableColumnId="1"/>
      <queryTableField id="2" name="assetId" tableColumnId="2"/>
      <queryTableField id="3" name="inspectorId" tableColumnId="3"/>
      <queryTableField id="4" name="inspectionDate" tableColumnId="4"/>
      <queryTableField id="5" name="inspectionResult" tableColumnId="5"/>
      <queryTableField id="6" name="notes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" xr16:uid="{9F09C11F-4F3E-42D7-B9C3-315A1527EAB5}" autoFormatId="16" applyNumberFormats="0" applyBorderFormats="0" applyFontFormats="0" applyPatternFormats="0" applyAlignmentFormats="0" applyWidthHeightFormats="0">
  <queryTableRefresh nextId="6">
    <queryTableFields count="5">
      <queryTableField id="1" name="locationName" tableColumnId="1"/>
      <queryTableField id="2" name="locationID" tableColumnId="2"/>
      <queryTableField id="3" name="address" tableColumnId="3"/>
      <queryTableField id="4" name="city" tableColumnId="4"/>
      <queryTableField id="5" name="province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5" xr16:uid="{83695596-EBF8-41FD-AE7B-9AB8EBE2B26E}" autoFormatId="16" applyNumberFormats="0" applyBorderFormats="0" applyFontFormats="0" applyPatternFormats="0" applyAlignmentFormats="0" applyWidthHeightFormats="0">
  <queryTableRefresh nextId="8">
    <queryTableFields count="7">
      <queryTableField id="1" name="maintenanceID" tableColumnId="1"/>
      <queryTableField id="2" name="assetID" tableColumnId="2"/>
      <queryTableField id="3" name="issueDescription" tableColumnId="3"/>
      <queryTableField id="4" name="priority" tableColumnId="4"/>
      <queryTableField id="5" name="maintenanceStatus" tableColumnId="5"/>
      <queryTableField id="6" name="dueDate" tableColumnId="6"/>
      <queryTableField id="7" name="completionDat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E1720-8CF2-4F92-A572-1CB20EFB5989}" name="Assets" displayName="Assets" ref="A1:I4" tableType="queryTable" totalsRowShown="0">
  <autoFilter ref="A1:I4" xr:uid="{DAFE1720-8CF2-4F92-A572-1CB20EFB5989}"/>
  <tableColumns count="9">
    <tableColumn id="1" xr3:uid="{56992351-FE3B-49C9-8EB2-FD9D6DCF1EEF}" uniqueName="1" name="assetId" queryTableFieldId="1"/>
    <tableColumn id="2" xr3:uid="{06AB6CA8-92E1-4206-B6F4-E7E1C9066982}" uniqueName="2" name="assetTag" queryTableFieldId="2" dataDxfId="6"/>
    <tableColumn id="3" xr3:uid="{5040A9C8-DC0B-4E64-AF7A-A0A669D22ADF}" uniqueName="3" name="assetName" queryTableFieldId="3" dataDxfId="5"/>
    <tableColumn id="4" xr3:uid="{92D09D03-772F-44BA-AEC9-782A354FC7F0}" uniqueName="4" name="assetType" queryTableFieldId="4" dataDxfId="4"/>
    <tableColumn id="5" xr3:uid="{91ED4C6F-0950-4F48-B62F-AED3166FDE58}" uniqueName="5" name="manufacturer" queryTableFieldId="5" dataDxfId="3"/>
    <tableColumn id="6" xr3:uid="{69D6E989-21DB-4BAB-A647-C2BC7B28F1A3}" uniqueName="6" name="installDate" queryTableFieldId="6" dataDxfId="2"/>
    <tableColumn id="7" xr3:uid="{FFF27F9A-018A-401E-A8F7-624EB4062131}" uniqueName="7" name="assetCondition" queryTableFieldId="7" dataDxfId="1"/>
    <tableColumn id="8" xr3:uid="{8FDB0CA6-96BF-4FD1-B283-D98EBFEA5899}" uniqueName="8" name="assetStatus" queryTableFieldId="8" dataDxfId="0"/>
    <tableColumn id="9" xr3:uid="{EC364F69-B8E6-452C-AC61-5E3DE6002897}" uniqueName="9" name="locationId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41EB838-1E64-4125-AB63-C5893D778CD6}" name="Employees" displayName="Employees" ref="J1:N4" tableType="queryTable" totalsRowShown="0">
  <autoFilter ref="J1:N4" xr:uid="{B41EB838-1E64-4125-AB63-C5893D778CD6}"/>
  <tableColumns count="5">
    <tableColumn id="1" xr3:uid="{6125ABA0-1B38-4066-9BDE-77642F298418}" uniqueName="1" name="employeeId" queryTableFieldId="1"/>
    <tableColumn id="2" xr3:uid="{C8942CC5-4B03-40C5-B949-E30B88C68E66}" uniqueName="2" name="firstName" queryTableFieldId="2" dataDxfId="17"/>
    <tableColumn id="3" xr3:uid="{1390D88C-0999-4B12-AE57-8F36A3F9A899}" uniqueName="3" name="lastName" queryTableFieldId="3" dataDxfId="16"/>
    <tableColumn id="4" xr3:uid="{3FF8655F-0026-45C6-8765-85061F2D1A10}" uniqueName="4" name="role" queryTableFieldId="4" dataDxfId="15"/>
    <tableColumn id="5" xr3:uid="{FA0796F2-010D-45EB-9188-868CFB58AD5F}" uniqueName="5" name="email" queryTableFieldId="5" dataDxfId="1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BA3D60-3960-4C64-B9DD-730A54708939}" name="Inspections" displayName="Inspections" ref="A15:F18" tableType="queryTable" totalsRowShown="0">
  <autoFilter ref="A15:F18" xr:uid="{B8BA3D60-3960-4C64-B9DD-730A54708939}"/>
  <tableColumns count="6">
    <tableColumn id="1" xr3:uid="{33E2E7B0-F1E7-4DE1-8C4C-E1EE5B04DCA4}" uniqueName="1" name="inspectionId" queryTableFieldId="1"/>
    <tableColumn id="2" xr3:uid="{DF4AA5CB-933E-48EF-BADB-899039353B28}" uniqueName="2" name="assetId" queryTableFieldId="2"/>
    <tableColumn id="3" xr3:uid="{1FA444D2-03B1-40FD-BB1C-7D7802A7B2A0}" uniqueName="3" name="inspectorId" queryTableFieldId="3"/>
    <tableColumn id="4" xr3:uid="{F9D46950-2A58-44AE-A592-17A62DB395A4}" uniqueName="4" name="inspectionDate" queryTableFieldId="4" dataDxfId="9"/>
    <tableColumn id="5" xr3:uid="{AC993592-6E0F-425F-B3C6-C7623FDFD477}" uniqueName="5" name="inspectionResult" queryTableFieldId="5" dataDxfId="8"/>
    <tableColumn id="6" xr3:uid="{DE2EE81E-73EA-49FC-B469-E8C3F836C900}" uniqueName="6" name="notes" queryTableFieldId="6" dataDxf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4EF630-800C-4613-9A57-F6A3F57191C3}" name="Locations" displayName="Locations" ref="A30:E33" tableType="queryTable" totalsRowShown="0">
  <autoFilter ref="A30:E33" xr:uid="{A34EF630-800C-4613-9A57-F6A3F57191C3}"/>
  <tableColumns count="5">
    <tableColumn id="1" xr3:uid="{B4974B96-9C10-4064-BFD9-907F7816E34D}" uniqueName="1" name="locationName" queryTableFieldId="1" dataDxfId="13"/>
    <tableColumn id="2" xr3:uid="{A07FCD9C-A89A-4B31-9921-1EDE86A863E0}" uniqueName="2" name="locationID" queryTableFieldId="2"/>
    <tableColumn id="3" xr3:uid="{9A7199BA-387C-4F24-BB08-3A21712C242B}" uniqueName="3" name="address" queryTableFieldId="3" dataDxfId="12"/>
    <tableColumn id="4" xr3:uid="{5F1178D9-4D46-4FF4-A703-6252525CC2A5}" uniqueName="4" name="city" queryTableFieldId="4" dataDxfId="11"/>
    <tableColumn id="5" xr3:uid="{5B27F10A-97CE-442E-A2CC-F9284311AA36}" uniqueName="5" name="province" queryTableFieldId="5" dataDxfId="1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F6B4349-A05E-45B0-B1B7-65AC736987D6}" name="Maintenance" displayName="Maintenance" ref="J15:P17" tableType="queryTable" totalsRowShown="0">
  <autoFilter ref="J15:P17" xr:uid="{EF6B4349-A05E-45B0-B1B7-65AC736987D6}"/>
  <tableColumns count="7">
    <tableColumn id="1" xr3:uid="{0E6204EB-2391-4CBA-950A-665F1ABD75CE}" uniqueName="1" name="maintenanceID" queryTableFieldId="1"/>
    <tableColumn id="2" xr3:uid="{E3B1EF0A-BD0F-49A6-88D1-B162E6853D68}" uniqueName="2" name="assetID" queryTableFieldId="2"/>
    <tableColumn id="3" xr3:uid="{8D06F1A8-814C-43ED-B96B-3015966A603E}" uniqueName="3" name="issueDescription" queryTableFieldId="3" dataDxfId="22"/>
    <tableColumn id="4" xr3:uid="{8BC51532-57DF-44BB-880B-84E9D7A88FE5}" uniqueName="4" name="priority" queryTableFieldId="4" dataDxfId="21"/>
    <tableColumn id="5" xr3:uid="{F0F9399B-98C1-4434-BAEE-B7F4D1F51D7E}" uniqueName="5" name="maintenanceStatus" queryTableFieldId="5" dataDxfId="20"/>
    <tableColumn id="6" xr3:uid="{E83C26C0-9701-460B-8030-FB493BB5B831}" uniqueName="6" name="dueDate" queryTableFieldId="6" dataDxfId="19"/>
    <tableColumn id="7" xr3:uid="{69D60375-FA25-409D-BE2B-E15A40393D7E}" uniqueName="7" name="completionDate" queryTableFieldId="7" dataDxf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A4373-427B-4954-B5BE-3274BCC42B32}">
  <sheetPr codeName="Sheet1"/>
  <dimension ref="A1:B7"/>
  <sheetViews>
    <sheetView zoomScale="70" zoomScaleNormal="70" workbookViewId="0">
      <selection activeCell="P11" sqref="P11"/>
    </sheetView>
  </sheetViews>
  <sheetFormatPr defaultRowHeight="14.5" x14ac:dyDescent="0.35"/>
  <cols>
    <col min="1" max="1" width="33.7265625" customWidth="1"/>
  </cols>
  <sheetData>
    <row r="1" spans="1:2" x14ac:dyDescent="0.35">
      <c r="A1" s="3" t="s">
        <v>80</v>
      </c>
      <c r="B1" s="4"/>
    </row>
    <row r="2" spans="1:2" x14ac:dyDescent="0.35">
      <c r="A2" s="3"/>
      <c r="B2" s="4"/>
    </row>
    <row r="3" spans="1:2" x14ac:dyDescent="0.35">
      <c r="A3" s="5" t="s">
        <v>81</v>
      </c>
      <c r="B3" s="4">
        <f>ROWS(Assets[#Data])</f>
        <v>3</v>
      </c>
    </row>
    <row r="4" spans="1:2" x14ac:dyDescent="0.35">
      <c r="A4" s="5" t="s">
        <v>82</v>
      </c>
      <c r="B4" s="4">
        <f>COUNTIF(Maintenance[maintenanceStatus],"Open")</f>
        <v>2</v>
      </c>
    </row>
    <row r="5" spans="1:2" x14ac:dyDescent="0.35">
      <c r="A5" s="5" t="s">
        <v>83</v>
      </c>
      <c r="B5" s="4">
        <f>COUNTIF(Inspections[inspectionResult],"Fail")</f>
        <v>1</v>
      </c>
    </row>
    <row r="6" spans="1:2" x14ac:dyDescent="0.35">
      <c r="A6" s="5" t="s">
        <v>84</v>
      </c>
      <c r="B6" s="4">
        <f>COUNTIF(Assets[assetCondition],"Critical")</f>
        <v>0</v>
      </c>
    </row>
    <row r="7" spans="1:2" x14ac:dyDescent="0.35">
      <c r="A7" s="5" t="s">
        <v>85</v>
      </c>
      <c r="B7" s="4">
        <f ca="1">COUNTIFS(Maintenance[maintenanceStatus],"Open",Maintenance[dueDate],"&lt;"&amp;TODAY())</f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freshDashboard">
                <anchor moveWithCells="1" sizeWithCells="1">
                  <from>
                    <xdr:col>10</xdr:col>
                    <xdr:colOff>311150</xdr:colOff>
                    <xdr:row>2</xdr:row>
                    <xdr:rowOff>120650</xdr:rowOff>
                  </from>
                  <to>
                    <xdr:col>14</xdr:col>
                    <xdr:colOff>6350</xdr:colOff>
                    <xdr:row>8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F500C-88C3-4113-B811-21A902EE7691}">
  <sheetPr codeName="Sheet2"/>
  <dimension ref="A1:P33"/>
  <sheetViews>
    <sheetView tabSelected="1" workbookViewId="0">
      <selection activeCell="D4" sqref="D4"/>
    </sheetView>
  </sheetViews>
  <sheetFormatPr defaultRowHeight="14.5" x14ac:dyDescent="0.35"/>
  <cols>
    <col min="1" max="1" width="9.1796875" bestFit="1" customWidth="1"/>
    <col min="2" max="2" width="10.36328125" bestFit="1" customWidth="1"/>
    <col min="3" max="3" width="15.7265625" bestFit="1" customWidth="1"/>
    <col min="4" max="4" width="11.453125" bestFit="1" customWidth="1"/>
    <col min="5" max="5" width="14.54296875" bestFit="1" customWidth="1"/>
    <col min="6" max="6" width="14.1796875" bestFit="1" customWidth="1"/>
    <col min="7" max="7" width="15.90625" bestFit="1" customWidth="1"/>
    <col min="8" max="8" width="16.81640625" bestFit="1" customWidth="1"/>
    <col min="9" max="9" width="11.54296875" bestFit="1" customWidth="1"/>
    <col min="10" max="10" width="12.90625" bestFit="1" customWidth="1"/>
    <col min="11" max="11" width="11.36328125" bestFit="1" customWidth="1"/>
    <col min="12" max="12" width="11.08984375" bestFit="1" customWidth="1"/>
    <col min="13" max="13" width="9.7265625" bestFit="1" customWidth="1"/>
    <col min="14" max="14" width="21.36328125" bestFit="1" customWidth="1"/>
    <col min="15" max="15" width="14.1796875" bestFit="1" customWidth="1"/>
    <col min="16" max="16" width="16.6328125" bestFit="1" customWidth="1"/>
  </cols>
  <sheetData>
    <row r="1" spans="1:1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26</v>
      </c>
      <c r="K1" t="s">
        <v>27</v>
      </c>
      <c r="L1" t="s">
        <v>28</v>
      </c>
      <c r="M1" t="s">
        <v>29</v>
      </c>
      <c r="N1" t="s">
        <v>30</v>
      </c>
    </row>
    <row r="2" spans="1:16" x14ac:dyDescent="0.35">
      <c r="A2">
        <v>1</v>
      </c>
      <c r="B2" s="1" t="s">
        <v>9</v>
      </c>
      <c r="C2" s="1" t="s">
        <v>10</v>
      </c>
      <c r="D2" s="1" t="s">
        <v>11</v>
      </c>
      <c r="E2" s="1" t="s">
        <v>12</v>
      </c>
      <c r="F2" s="2">
        <v>44571</v>
      </c>
      <c r="G2" s="1" t="s">
        <v>90</v>
      </c>
      <c r="H2" s="1" t="s">
        <v>14</v>
      </c>
      <c r="I2">
        <v>1</v>
      </c>
      <c r="J2">
        <v>1</v>
      </c>
      <c r="K2" s="1" t="s">
        <v>31</v>
      </c>
      <c r="L2" s="1" t="s">
        <v>32</v>
      </c>
      <c r="M2" s="1" t="s">
        <v>33</v>
      </c>
      <c r="N2" s="1" t="s">
        <v>34</v>
      </c>
    </row>
    <row r="3" spans="1:16" x14ac:dyDescent="0.35">
      <c r="A3">
        <v>2</v>
      </c>
      <c r="B3" s="1" t="s">
        <v>15</v>
      </c>
      <c r="C3" s="1" t="s">
        <v>16</v>
      </c>
      <c r="D3" s="1" t="s">
        <v>17</v>
      </c>
      <c r="E3" s="1" t="s">
        <v>18</v>
      </c>
      <c r="F3" s="2">
        <v>44270</v>
      </c>
      <c r="G3" s="1" t="s">
        <v>19</v>
      </c>
      <c r="H3" s="1" t="s">
        <v>14</v>
      </c>
      <c r="I3">
        <v>2</v>
      </c>
      <c r="J3">
        <v>2</v>
      </c>
      <c r="K3" s="1" t="s">
        <v>35</v>
      </c>
      <c r="L3" s="1" t="s">
        <v>36</v>
      </c>
      <c r="M3" s="1" t="s">
        <v>37</v>
      </c>
      <c r="N3" s="1" t="s">
        <v>38</v>
      </c>
    </row>
    <row r="4" spans="1:16" x14ac:dyDescent="0.35">
      <c r="A4">
        <v>7</v>
      </c>
      <c r="B4" s="1" t="s">
        <v>20</v>
      </c>
      <c r="C4" s="1" t="s">
        <v>21</v>
      </c>
      <c r="D4" s="1" t="s">
        <v>22</v>
      </c>
      <c r="E4" s="1" t="s">
        <v>23</v>
      </c>
      <c r="F4" s="2">
        <v>44004</v>
      </c>
      <c r="G4" s="1" t="s">
        <v>24</v>
      </c>
      <c r="H4" s="1" t="s">
        <v>25</v>
      </c>
      <c r="I4">
        <v>3</v>
      </c>
      <c r="J4">
        <v>3</v>
      </c>
      <c r="K4" s="1" t="s">
        <v>39</v>
      </c>
      <c r="L4" s="1" t="s">
        <v>40</v>
      </c>
      <c r="M4" s="1" t="s">
        <v>41</v>
      </c>
      <c r="N4" s="1" t="s">
        <v>42</v>
      </c>
    </row>
    <row r="15" spans="1:16" x14ac:dyDescent="0.35">
      <c r="A15" t="s">
        <v>43</v>
      </c>
      <c r="B15" t="s">
        <v>0</v>
      </c>
      <c r="C15" t="s">
        <v>44</v>
      </c>
      <c r="D15" t="s">
        <v>45</v>
      </c>
      <c r="E15" t="s">
        <v>46</v>
      </c>
      <c r="F15" t="s">
        <v>47</v>
      </c>
      <c r="J15" t="s">
        <v>53</v>
      </c>
      <c r="K15" t="s">
        <v>54</v>
      </c>
      <c r="L15" t="s">
        <v>55</v>
      </c>
      <c r="M15" t="s">
        <v>56</v>
      </c>
      <c r="N15" t="s">
        <v>57</v>
      </c>
      <c r="O15" t="s">
        <v>58</v>
      </c>
      <c r="P15" t="s">
        <v>59</v>
      </c>
    </row>
    <row r="16" spans="1:16" x14ac:dyDescent="0.35">
      <c r="A16">
        <v>1</v>
      </c>
      <c r="B16">
        <v>1</v>
      </c>
      <c r="C16">
        <v>1</v>
      </c>
      <c r="D16" s="2">
        <v>46174</v>
      </c>
      <c r="E16" s="1" t="s">
        <v>48</v>
      </c>
      <c r="F16" s="1" t="s">
        <v>49</v>
      </c>
      <c r="J16">
        <v>1</v>
      </c>
      <c r="K16">
        <v>7</v>
      </c>
      <c r="L16" s="1" t="s">
        <v>60</v>
      </c>
      <c r="M16" s="1" t="s">
        <v>61</v>
      </c>
      <c r="N16" s="1" t="s">
        <v>62</v>
      </c>
      <c r="O16" s="2">
        <v>46193</v>
      </c>
      <c r="P16" s="2"/>
    </row>
    <row r="17" spans="1:16" x14ac:dyDescent="0.35">
      <c r="A17">
        <v>2</v>
      </c>
      <c r="B17">
        <v>2</v>
      </c>
      <c r="C17">
        <v>1</v>
      </c>
      <c r="D17" s="2">
        <v>46175</v>
      </c>
      <c r="E17" s="1" t="s">
        <v>48</v>
      </c>
      <c r="F17" s="1" t="s">
        <v>50</v>
      </c>
      <c r="J17">
        <v>2</v>
      </c>
      <c r="K17">
        <v>2</v>
      </c>
      <c r="L17" s="1" t="s">
        <v>63</v>
      </c>
      <c r="M17" s="1" t="s">
        <v>64</v>
      </c>
      <c r="N17" s="1" t="s">
        <v>62</v>
      </c>
      <c r="O17" s="2">
        <v>46204</v>
      </c>
      <c r="P17" s="2"/>
    </row>
    <row r="18" spans="1:16" x14ac:dyDescent="0.35">
      <c r="A18">
        <v>4</v>
      </c>
      <c r="B18">
        <v>7</v>
      </c>
      <c r="C18">
        <v>1</v>
      </c>
      <c r="D18" s="2">
        <v>46176</v>
      </c>
      <c r="E18" s="1" t="s">
        <v>51</v>
      </c>
      <c r="F18" s="1" t="s">
        <v>52</v>
      </c>
    </row>
    <row r="30" spans="1:16" x14ac:dyDescent="0.35">
      <c r="A30" t="s">
        <v>65</v>
      </c>
      <c r="B30" t="s">
        <v>66</v>
      </c>
      <c r="C30" t="s">
        <v>67</v>
      </c>
      <c r="D30" t="s">
        <v>68</v>
      </c>
      <c r="E30" t="s">
        <v>69</v>
      </c>
    </row>
    <row r="31" spans="1:16" x14ac:dyDescent="0.35">
      <c r="A31" s="1" t="s">
        <v>70</v>
      </c>
      <c r="B31">
        <v>1</v>
      </c>
      <c r="C31" s="1" t="s">
        <v>71</v>
      </c>
      <c r="D31" s="1" t="s">
        <v>72</v>
      </c>
      <c r="E31" s="1" t="s">
        <v>73</v>
      </c>
    </row>
    <row r="32" spans="1:16" x14ac:dyDescent="0.35">
      <c r="A32" s="1" t="s">
        <v>74</v>
      </c>
      <c r="B32">
        <v>2</v>
      </c>
      <c r="C32" s="1" t="s">
        <v>75</v>
      </c>
      <c r="D32" s="1" t="s">
        <v>76</v>
      </c>
      <c r="E32" s="1" t="s">
        <v>73</v>
      </c>
    </row>
    <row r="33" spans="1:5" x14ac:dyDescent="0.35">
      <c r="A33" s="1" t="s">
        <v>77</v>
      </c>
      <c r="B33">
        <v>3</v>
      </c>
      <c r="C33" s="1" t="s">
        <v>78</v>
      </c>
      <c r="D33" s="1" t="s">
        <v>79</v>
      </c>
      <c r="E33" s="1" t="s">
        <v>73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AB2FB-7263-4097-9F6B-AD1C2BA34670}">
  <sheetPr codeName="Sheet3"/>
  <dimension ref="A1:B12"/>
  <sheetViews>
    <sheetView workbookViewId="0"/>
  </sheetViews>
  <sheetFormatPr defaultRowHeight="14.5" x14ac:dyDescent="0.35"/>
  <cols>
    <col min="1" max="1" width="12.453125" bestFit="1" customWidth="1"/>
    <col min="2" max="2" width="25" bestFit="1" customWidth="1"/>
  </cols>
  <sheetData>
    <row r="1" spans="1:2" x14ac:dyDescent="0.35">
      <c r="A1" s="6" t="s">
        <v>86</v>
      </c>
      <c r="B1" t="s">
        <v>88</v>
      </c>
    </row>
    <row r="2" spans="1:2" x14ac:dyDescent="0.35">
      <c r="A2" s="7" t="s">
        <v>19</v>
      </c>
      <c r="B2" s="1">
        <v>1</v>
      </c>
    </row>
    <row r="3" spans="1:2" x14ac:dyDescent="0.35">
      <c r="A3" s="7" t="s">
        <v>13</v>
      </c>
      <c r="B3" s="1">
        <v>1</v>
      </c>
    </row>
    <row r="4" spans="1:2" x14ac:dyDescent="0.35">
      <c r="A4" s="7" t="s">
        <v>24</v>
      </c>
      <c r="B4" s="1">
        <v>1</v>
      </c>
    </row>
    <row r="5" spans="1:2" x14ac:dyDescent="0.35">
      <c r="A5" s="7" t="s">
        <v>87</v>
      </c>
      <c r="B5" s="1">
        <v>3</v>
      </c>
    </row>
    <row r="10" spans="1:2" x14ac:dyDescent="0.35">
      <c r="A10" s="6" t="s">
        <v>86</v>
      </c>
      <c r="B10" t="s">
        <v>89</v>
      </c>
    </row>
    <row r="11" spans="1:2" x14ac:dyDescent="0.35">
      <c r="A11" s="7" t="s">
        <v>62</v>
      </c>
      <c r="B11" s="1">
        <v>2</v>
      </c>
    </row>
    <row r="12" spans="1:2" x14ac:dyDescent="0.35">
      <c r="A12" s="7" t="s">
        <v>87</v>
      </c>
      <c r="B12" s="1">
        <v>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B5BB2F3-A3EA-4733-B0DE-43484264EB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RawData</vt:lpstr>
      <vt:lpstr>KPIs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Rayan Ansari</dc:creator>
  <cp:lastModifiedBy>Rayan Ansari</cp:lastModifiedBy>
  <dcterms:created xsi:type="dcterms:W3CDTF">2026-06-25T03:10:10Z</dcterms:created>
  <dcterms:modified xsi:type="dcterms:W3CDTF">2026-06-25T21:11:48Z</dcterms:modified>
</cp:coreProperties>
</file>